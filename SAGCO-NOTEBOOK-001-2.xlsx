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DATA" sheetId="1" state="visible" r:id="rId3"/>
    <sheet name="DMS ENGINE" sheetId="2" state="visible" r:id="rId4"/>
    <sheet name="SIN COS PROJECTION" sheetId="3" state="visible" r:id="rId5"/>
    <sheet name="VERDICT ENGINE" sheetId="4" state="visible" r:id="rId6"/>
    <sheet name="BIAS Q-POINT ENGINE" sheetId="5" state="visible" r:id="rId7"/>
    <sheet name="ISO DRAWING LOG" sheetId="6" state="visible" r:id="rId8"/>
    <sheet name="PAGE ENTRY ENGI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<sst xmlns="http://schemas.openxmlformats.org/spreadsheetml/2006/main" count="177" uniqueCount="119">
  <si>
    <t xml:space="preserve">SAGCO-NOTEBOOK-001 | FIELD BIAS ENGINE v1 | SHEET 1 — FIELD DATA</t>
  </si>
  <si>
    <t xml:space="preserve">PACK #</t>
  </si>
  <si>
    <t xml:space="preserve">CIRCUIT</t>
  </si>
  <si>
    <t xml:space="preserve">EQUIPMENT</t>
  </si>
  <si>
    <t xml:space="preserve">LNFT</t>
  </si>
  <si>
    <t xml:space="preserve">SQFT</t>
  </si>
  <si>
    <t xml:space="preserve">LNFT IN</t>
  </si>
  <si>
    <t xml:space="preserve">SQFT IN</t>
  </si>
  <si>
    <t xml:space="preserve">MEN</t>
  </si>
  <si>
    <t xml:space="preserve">10HR DAYS</t>
  </si>
  <si>
    <t xml:space="preserve">TOTAL HRS</t>
  </si>
  <si>
    <t xml:space="preserve">WEIGHT</t>
  </si>
  <si>
    <t xml:space="preserve">PER HOUR</t>
  </si>
  <si>
    <t xml:space="preserve">LNFT/HR</t>
  </si>
  <si>
    <t xml:space="preserve">SQFT/HR</t>
  </si>
  <si>
    <t xml:space="preserve">SQFT/LNFT</t>
  </si>
  <si>
    <t xml:space="preserve">NOTES</t>
  </si>
  <si>
    <t xml:space="preserve">PKG-001</t>
  </si>
  <si>
    <t xml:space="preserve">C-1602-O-1B</t>
  </si>
  <si>
    <t xml:space="preserve">FURNACE-01</t>
  </si>
  <si>
    <t xml:space="preserve">RA install</t>
  </si>
  <si>
    <t xml:space="preserve">PKG-002</t>
  </si>
  <si>
    <t xml:space="preserve">FURNACE-02</t>
  </si>
  <si>
    <t xml:space="preserve">PKG-003</t>
  </si>
  <si>
    <t xml:space="preserve">FURNACE-03</t>
  </si>
  <si>
    <t xml:space="preserve">Insulation complete</t>
  </si>
  <si>
    <t xml:space="preserve">PKG-004</t>
  </si>
  <si>
    <t xml:space="preserve">FURNACE-04</t>
  </si>
  <si>
    <t xml:space="preserve">PKG-005</t>
  </si>
  <si>
    <t xml:space="preserve">FURNACE-05</t>
  </si>
  <si>
    <t xml:space="preserve">TOTALS</t>
  </si>
  <si>
    <t xml:space="preserve">SAGCO-NOTEBOOK-001 | SHEET 2 — DMS CONVERSION ENGINE</t>
  </si>
  <si>
    <t xml:space="preserve">DECIMAL°</t>
  </si>
  <si>
    <t xml:space="preserve">PACK REF</t>
  </si>
  <si>
    <t xml:space="preserve">DEG °</t>
  </si>
  <si>
    <t xml:space="preserve">MIN '</t>
  </si>
  <si>
    <t xml:space="preserve">SEC "</t>
  </si>
  <si>
    <t xml:space="preserve">DMS STRING</t>
  </si>
  <si>
    <t xml:space="preserve">STATUS</t>
  </si>
  <si>
    <t xml:space="preserve">SAGCO-NOTEBOOK-001 | SHEET 3 — SIN/COS COORDINATE PROJECTION</t>
  </si>
  <si>
    <t xml:space="preserve">SIN</t>
  </si>
  <si>
    <t xml:space="preserve">COS</t>
  </si>
  <si>
    <t xml:space="preserve">N/S DELTA</t>
  </si>
  <si>
    <t xml:space="preserve">E/W DELTA</t>
  </si>
  <si>
    <t xml:space="preserve">COORD STRING</t>
  </si>
  <si>
    <t xml:space="preserve">SAGCO-NOTEBOOK-001 | SHEET 4 — VERDICT ENGINE  |  V=(A/E)×100</t>
  </si>
  <si>
    <t xml:space="preserve">METRIC</t>
  </si>
  <si>
    <t xml:space="preserve">EXPECTED</t>
  </si>
  <si>
    <t xml:space="preserve">ACTUAL</t>
  </si>
  <si>
    <t xml:space="preserve">VARIANCE</t>
  </si>
  <si>
    <t xml:space="preserve">COVERAGE %</t>
  </si>
  <si>
    <t xml:space="preserve">VERDICT</t>
  </si>
  <si>
    <t xml:space="preserve">BIAS FLAG</t>
  </si>
  <si>
    <t xml:space="preserve">CONF SCORE</t>
  </si>
  <si>
    <t xml:space="preserve">DELTA CLASS</t>
  </si>
  <si>
    <t xml:space="preserve">MAN-HRS</t>
  </si>
  <si>
    <t xml:space="preserve">NOTEBOOK-001 EQUATION</t>
  </si>
  <si>
    <t xml:space="preserve">V = (A / E) × 100   |   PROVEN ≥ 90%   |   PROMISING ≥ 70%   |   PARTIAL ≥ 50%   |   UNPROVEN &lt; 50%</t>
  </si>
  <si>
    <t xml:space="preserve">SAGCO-NOTEBOOK-001 | SHEET 5 — BIAS / Q-POINT ENGINE  |  Transistor Analog: Scope as Signal</t>
  </si>
  <si>
    <t xml:space="preserve">Vcc=Supply/Scope  |  Rc=Restriction  |  Rb1=Upstream Constraint  |  Rb2=Downstream Constraint  |  Re=Rework/Backpressure  |  β=Crew Gain  |  Ic=Actual Flow  |  Ib=Base Input  |  Ie=Total Output  |  Vce=Usable Margin</t>
  </si>
  <si>
    <t xml:space="preserve">Vcc
SUPPLY</t>
  </si>
  <si>
    <t xml:space="preserve">Rc
RESTRICT</t>
  </si>
  <si>
    <t xml:space="preserve">Rb1
UPSTREAM</t>
  </si>
  <si>
    <t xml:space="preserve">Rb2
DNSTREAM</t>
  </si>
  <si>
    <t xml:space="preserve">Re
FEEDBACK</t>
  </si>
  <si>
    <t xml:space="preserve">β GAIN</t>
  </si>
  <si>
    <t xml:space="preserve">Ib BASE
INPUT</t>
  </si>
  <si>
    <t xml:space="preserve">Ic COLL
FLOW</t>
  </si>
  <si>
    <t xml:space="preserve">Ie EMIT
OUTPUT</t>
  </si>
  <si>
    <t xml:space="preserve">Vce MARGIN</t>
  </si>
  <si>
    <t xml:space="preserve">EXPECTED
FLOW</t>
  </si>
  <si>
    <t xml:space="preserve">ACTUAL
FLOW</t>
  </si>
  <si>
    <t xml:space="preserve">Q-POINT</t>
  </si>
  <si>
    <t xml:space="preserve">SAGCO-NOTEBOOK-001 | SHEET 6 — ISO DRAWING LOG  |  Page-by-Page Field Entry</t>
  </si>
  <si>
    <t xml:space="preserve">PAGE #</t>
  </si>
  <si>
    <t xml:space="preserve">DRAWING #</t>
  </si>
  <si>
    <t xml:space="preserve">LINE #</t>
  </si>
  <si>
    <t xml:space="preserve">PROCESS</t>
  </si>
  <si>
    <t xml:space="preserve">MATERIAL</t>
  </si>
  <si>
    <t xml:space="preserve">INSULATED?</t>
  </si>
  <si>
    <t xml:space="preserve">APPROX FT</t>
  </si>
  <si>
    <t xml:space="preserve">OPER PRESS</t>
  </si>
  <si>
    <t xml:space="preserve">OPER TEMP</t>
  </si>
  <si>
    <t xml:space="preserve">TASK</t>
  </si>
  <si>
    <t xml:space="preserve">POINT A</t>
  </si>
  <si>
    <t xml:space="preserve">POINT B</t>
  </si>
  <si>
    <t xml:space="preserve">ELBOW CT</t>
  </si>
  <si>
    <t xml:space="preserve">TEE CT</t>
  </si>
  <si>
    <t xml:space="preserve">VALVE CT</t>
  </si>
  <si>
    <t xml:space="preserve">20 OF 26</t>
  </si>
  <si>
    <t xml:space="preserve">ISO-20</t>
  </si>
  <si>
    <t xml:space="preserve">PO-HDRFE-1B</t>
  </si>
  <si>
    <t xml:space="preserve">2"-PO-162570E-B1B</t>
  </si>
  <si>
    <t xml:space="preserve">PAN OIL</t>
  </si>
  <si>
    <t xml:space="preserve">B1B-API 5L GrB</t>
  </si>
  <si>
    <t xml:space="preserve">YES</t>
  </si>
  <si>
    <t xml:space="preserve">200 PSI</t>
  </si>
  <si>
    <t xml:space="preserve">100°F</t>
  </si>
  <si>
    <t xml:space="preserve">REMOVE INSULATION</t>
  </si>
  <si>
    <t xml:space="preserve">HEADER</t>
  </si>
  <si>
    <t xml:space="preserve">FURNACE INLET</t>
  </si>
  <si>
    <t xml:space="preserve">SAGCO-NOTEBOOK-001 | SHEET 7 — PAGE ENTRY ENGINE  |  Run Ft → LNFT → SQFT → MH → VERDICT</t>
  </si>
  <si>
    <t xml:space="preserve">PAGE</t>
  </si>
  <si>
    <t xml:space="preserve">ANGLE °</t>
  </si>
  <si>
    <t xml:space="preserve">RUN FT</t>
  </si>
  <si>
    <t xml:space="preserve">DIA (IN)</t>
  </si>
  <si>
    <t xml:space="preserve">ELBOWS</t>
  </si>
  <si>
    <t xml:space="preserve">TEES</t>
  </si>
  <si>
    <t xml:space="preserve">VALVES</t>
  </si>
  <si>
    <t xml:space="preserve">BASE LNFT</t>
  </si>
  <si>
    <t xml:space="preserve">ADJ LNFT</t>
  </si>
  <si>
    <t xml:space="preserve">MAN HRS</t>
  </si>
  <si>
    <t xml:space="preserve">21 OF 26</t>
  </si>
  <si>
    <t xml:space="preserve">22 OF 26</t>
  </si>
  <si>
    <t xml:space="preserve">23 OF 26</t>
  </si>
  <si>
    <t xml:space="preserve">24 OF 26</t>
  </si>
  <si>
    <t xml:space="preserve">25 OF 26</t>
  </si>
  <si>
    <t xml:space="preserve">26 OF 26</t>
  </si>
  <si>
    <t xml:space="preserve">⚙️  MAN HRS formula uses 15 LNFT/hr baseline — adjust in col K formula per crew rate | SQFT = π × (Dia″/12) × Adj-LNFT | Elbow adder = 1.5 LNFT each | Tee = 2.0 | Valve = 3.0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</si>
</sst>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E5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FFD700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sz val="10"/>
      <color rgb="FFFF4444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sz val="10"/>
      <color rgb="FFFF8C00"/>
      <name val="Arial"/>
      <family val="0"/>
      <charset val="1"/>
    </font>
    <font>
      <sz val="10"/>
      <color rgb="FF55557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533483"/>
        <bgColor rgb="FF333355"/>
      </patternFill>
    </fill>
    <fill>
      <patternFill patternType="solid">
        <fgColor rgb="FF16213E"/>
        <bgColor rgb="FF1A1A2E"/>
      </patternFill>
    </fill>
    <fill>
      <patternFill patternType="solid">
        <fgColor rgb="FF0A3622"/>
        <bgColor rgb="FF16213E"/>
      </patternFill>
    </fill>
    <fill>
      <patternFill patternType="solid">
        <fgColor rgb="FF3D0000"/>
        <bgColor rgb="FF3D1A00"/>
      </patternFill>
    </fill>
    <fill>
      <patternFill patternType="solid">
        <fgColor rgb="FF3D1A00"/>
        <bgColor rgb="FF3D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3D0000"/>
      <rgbColor rgb="FF008000"/>
      <rgbColor rgb="FF16213E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555577"/>
      <rgbColor rgb="FF969696"/>
      <rgbColor rgb="FF0F3460"/>
      <rgbColor rgb="FF339966"/>
      <rgbColor rgb="FF0A3622"/>
      <rgbColor rgb="FF3D1A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8"/>
    <col collapsed="false" customWidth="true" hidden="false" outlineLevel="0" max="7" min="5" style="1" width="10"/>
    <col collapsed="false" customWidth="true" hidden="false" outlineLevel="0" max="8" min="8" style="1" width="6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4" min="12" style="1" width="10"/>
    <col collapsed="false" customWidth="true" hidden="false" outlineLevel="0" max="15" min="15" style="1" width="11"/>
    <col collapsed="false" customWidth="true" hidden="false" outlineLevel="0" max="16" min="16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6" t="s">
        <v>10</v>
      </c>
      <c r="K2" s="3" t="s">
        <v>11</v>
      </c>
      <c r="L2" s="6" t="s">
        <v>12</v>
      </c>
      <c r="M2" s="7" t="s">
        <v>13</v>
      </c>
      <c r="N2" s="7" t="s">
        <v>14</v>
      </c>
      <c r="O2" s="7" t="s">
        <v>15</v>
      </c>
      <c r="P2" s="3" t="s">
        <v>16</v>
      </c>
    </row>
    <row r="3" customFormat="false" ht="15" hidden="false" customHeight="true" outlineLevel="0" collapsed="false">
      <c r="A3" s="8" t="s">
        <v>17</v>
      </c>
      <c r="B3" s="8" t="s">
        <v>18</v>
      </c>
      <c r="C3" s="8" t="s">
        <v>19</v>
      </c>
      <c r="D3" s="9" t="n">
        <v>120</v>
      </c>
      <c r="E3" s="9" t="n">
        <v>250.56</v>
      </c>
      <c r="F3" s="9" t="n">
        <f aca="false">D3*12</f>
        <v>1440</v>
      </c>
      <c r="G3" s="9" t="n">
        <f aca="false">E3*144</f>
        <v>36080.64</v>
      </c>
      <c r="H3" s="10" t="n">
        <v>3</v>
      </c>
      <c r="I3" s="10" t="n">
        <v>4</v>
      </c>
      <c r="J3" s="11" t="n">
        <f aca="false">H3*I3*10</f>
        <v>120</v>
      </c>
      <c r="K3" s="8" t="n">
        <v>480</v>
      </c>
      <c r="L3" s="11" t="n">
        <f aca="false">IFERROR(K3/J3,"—")</f>
        <v>4</v>
      </c>
      <c r="M3" s="12" t="n">
        <f aca="false">IFERROR(D3/J3,"—")</f>
        <v>1</v>
      </c>
      <c r="N3" s="12" t="n">
        <f aca="false">IFERROR(E3/J3,"—")</f>
        <v>2.088</v>
      </c>
      <c r="O3" s="12" t="n">
        <f aca="false">IFERROR(E3/D3,"—")</f>
        <v>2.088</v>
      </c>
      <c r="P3" s="13" t="s">
        <v>20</v>
      </c>
    </row>
    <row r="4" customFormat="false" ht="15" hidden="false" customHeight="true" outlineLevel="0" collapsed="false">
      <c r="A4" s="8" t="s">
        <v>21</v>
      </c>
      <c r="B4" s="8" t="s">
        <v>18</v>
      </c>
      <c r="C4" s="8" t="s">
        <v>22</v>
      </c>
      <c r="D4" s="9" t="n">
        <v>95</v>
      </c>
      <c r="E4" s="9" t="n">
        <v>198.4</v>
      </c>
      <c r="F4" s="9" t="n">
        <f aca="false">D4*12</f>
        <v>1140</v>
      </c>
      <c r="G4" s="9" t="n">
        <f aca="false">E4*144</f>
        <v>28569.6</v>
      </c>
      <c r="H4" s="10" t="n">
        <v>2</v>
      </c>
      <c r="I4" s="10" t="n">
        <v>3</v>
      </c>
      <c r="J4" s="11" t="n">
        <f aca="false">H4*I4*10</f>
        <v>60</v>
      </c>
      <c r="K4" s="8" t="n">
        <v>320</v>
      </c>
      <c r="L4" s="11" t="n">
        <f aca="false">IFERROR(K4/J4,"—")</f>
        <v>5.33333333333333</v>
      </c>
      <c r="M4" s="12" t="n">
        <f aca="false">IFERROR(D4/J4,"—")</f>
        <v>1.58333333333333</v>
      </c>
      <c r="N4" s="12" t="n">
        <f aca="false">IFERROR(E4/J4,"—")</f>
        <v>3.30666666666667</v>
      </c>
      <c r="O4" s="12" t="n">
        <f aca="false">IFERROR(E4/D4,"—")</f>
        <v>2.08842105263158</v>
      </c>
      <c r="P4" s="13"/>
    </row>
    <row r="5" customFormat="false" ht="15" hidden="false" customHeight="true" outlineLevel="0" collapsed="false">
      <c r="A5" s="8" t="s">
        <v>23</v>
      </c>
      <c r="B5" s="8" t="s">
        <v>18</v>
      </c>
      <c r="C5" s="8" t="s">
        <v>24</v>
      </c>
      <c r="D5" s="9" t="n">
        <v>140</v>
      </c>
      <c r="E5" s="9" t="n">
        <v>292.32</v>
      </c>
      <c r="F5" s="9" t="n">
        <f aca="false">D5*12</f>
        <v>1680</v>
      </c>
      <c r="G5" s="9" t="n">
        <f aca="false">E5*144</f>
        <v>42094.08</v>
      </c>
      <c r="H5" s="10" t="n">
        <v>3</v>
      </c>
      <c r="I5" s="10" t="n">
        <v>5</v>
      </c>
      <c r="J5" s="11" t="n">
        <f aca="false">H5*I5*10</f>
        <v>150</v>
      </c>
      <c r="K5" s="8" t="n">
        <v>560</v>
      </c>
      <c r="L5" s="11" t="n">
        <f aca="false">IFERROR(K5/J5,"—")</f>
        <v>3.73333333333333</v>
      </c>
      <c r="M5" s="12" t="n">
        <f aca="false">IFERROR(D5/J5,"—")</f>
        <v>0.933333333333333</v>
      </c>
      <c r="N5" s="12" t="n">
        <f aca="false">IFERROR(E5/J5,"—")</f>
        <v>1.9488</v>
      </c>
      <c r="O5" s="12" t="n">
        <f aca="false">IFERROR(E5/D5,"—")</f>
        <v>2.088</v>
      </c>
      <c r="P5" s="13" t="s">
        <v>25</v>
      </c>
    </row>
    <row r="6" customFormat="false" ht="15" hidden="false" customHeight="true" outlineLevel="0" collapsed="false">
      <c r="A6" s="8" t="s">
        <v>26</v>
      </c>
      <c r="B6" s="8" t="s">
        <v>18</v>
      </c>
      <c r="C6" s="8" t="s">
        <v>27</v>
      </c>
      <c r="D6" s="9" t="n">
        <v>80</v>
      </c>
      <c r="E6" s="9" t="n">
        <v>167.04</v>
      </c>
      <c r="F6" s="9" t="n">
        <f aca="false">D6*12</f>
        <v>960</v>
      </c>
      <c r="G6" s="9" t="n">
        <f aca="false">E6*144</f>
        <v>24053.76</v>
      </c>
      <c r="H6" s="10" t="n">
        <v>2</v>
      </c>
      <c r="I6" s="10" t="n">
        <v>2</v>
      </c>
      <c r="J6" s="11" t="n">
        <f aca="false">H6*I6*10</f>
        <v>40</v>
      </c>
      <c r="K6" s="8" t="n">
        <v>215</v>
      </c>
      <c r="L6" s="11" t="n">
        <f aca="false">IFERROR(K6/J6,"—")</f>
        <v>5.375</v>
      </c>
      <c r="M6" s="12" t="n">
        <f aca="false">IFERROR(D6/J6,"—")</f>
        <v>2</v>
      </c>
      <c r="N6" s="12" t="n">
        <f aca="false">IFERROR(E6/J6,"—")</f>
        <v>4.176</v>
      </c>
      <c r="O6" s="12" t="n">
        <f aca="false">IFERROR(E6/D6,"—")</f>
        <v>2.088</v>
      </c>
      <c r="P6" s="13"/>
    </row>
    <row r="7" customFormat="false" ht="15" hidden="false" customHeight="true" outlineLevel="0" collapsed="false">
      <c r="A7" s="8" t="s">
        <v>28</v>
      </c>
      <c r="B7" s="8" t="s">
        <v>18</v>
      </c>
      <c r="C7" s="8" t="s">
        <v>29</v>
      </c>
      <c r="D7" s="9" t="n">
        <v>110</v>
      </c>
      <c r="E7" s="9" t="n">
        <v>229.68</v>
      </c>
      <c r="F7" s="9" t="n">
        <f aca="false">D7*12</f>
        <v>1320</v>
      </c>
      <c r="G7" s="9" t="n">
        <f aca="false">E7*144</f>
        <v>33073.92</v>
      </c>
      <c r="H7" s="10" t="n">
        <v>3</v>
      </c>
      <c r="I7" s="10" t="n">
        <v>4</v>
      </c>
      <c r="J7" s="11" t="n">
        <f aca="false">H7*I7*10</f>
        <v>120</v>
      </c>
      <c r="K7" s="8" t="n">
        <v>410</v>
      </c>
      <c r="L7" s="11" t="n">
        <f aca="false">IFERROR(K7/J7,"—")</f>
        <v>3.41666666666667</v>
      </c>
      <c r="M7" s="12" t="n">
        <f aca="false">IFERROR(D7/J7,"—")</f>
        <v>0.916666666666667</v>
      </c>
      <c r="N7" s="12" t="n">
        <f aca="false">IFERROR(E7/J7,"—")</f>
        <v>1.914</v>
      </c>
      <c r="O7" s="12" t="n">
        <f aca="false">IFERROR(E7/D7,"—")</f>
        <v>2.088</v>
      </c>
      <c r="P7" s="13"/>
    </row>
    <row r="8" customFormat="false" ht="15" hidden="false" customHeight="true" outlineLevel="0" collapsed="false">
      <c r="A8" s="14" t="s">
        <v>30</v>
      </c>
      <c r="B8" s="14"/>
      <c r="C8" s="14"/>
      <c r="D8" s="11" t="n">
        <f aca="false">SUM(D3:D7)</f>
        <v>545</v>
      </c>
      <c r="E8" s="11" t="n">
        <f aca="false">SUM(E3:E7)</f>
        <v>1138</v>
      </c>
      <c r="F8" s="15"/>
      <c r="G8" s="15"/>
      <c r="H8" s="15"/>
      <c r="I8" s="15"/>
      <c r="J8" s="11" t="n">
        <f aca="false">SUM(J3:J7)</f>
        <v>490</v>
      </c>
      <c r="K8" s="11" t="n">
        <f aca="false">SUM(K3:K7)</f>
        <v>1985</v>
      </c>
      <c r="L8" s="15"/>
      <c r="M8" s="15"/>
      <c r="N8" s="15"/>
      <c r="O8" s="15"/>
    </row>
  </sheetData>
  <mergeCells count="2">
    <mergeCell ref="A1:P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5" min="3" style="1" width="10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0"/>
  </cols>
  <sheetData>
    <row r="1" customFormat="false" ht="27.7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16</v>
      </c>
      <c r="H2" s="4" t="s">
        <v>38</v>
      </c>
    </row>
    <row r="3" customFormat="false" ht="15" hidden="false" customHeight="true" outlineLevel="0" collapsed="false">
      <c r="A3" s="9" t="n">
        <v>17.25</v>
      </c>
      <c r="B3" s="8" t="s">
        <v>17</v>
      </c>
      <c r="C3" s="11" t="n">
        <f aca="false">INT(A3)</f>
        <v>17</v>
      </c>
      <c r="D3" s="11" t="n">
        <f aca="false">INT((A3-INT(A3))*60)</f>
        <v>15</v>
      </c>
      <c r="E3" s="11" t="n">
        <f aca="false">ROUND((((A3-INT(A3))*60)-INT((A3-INT(A3))*60))*60,0)</f>
        <v>0</v>
      </c>
      <c r="F3" s="12" t="str">
        <f aca="false">C3&amp;"° "&amp;D3&amp;"' "&amp;E3&amp;""</f>
        <v>17° 15' 0</v>
      </c>
      <c r="G3" s="16"/>
      <c r="H3" s="12" t="str">
        <f aca="false">IF(A3&gt;0,"VALID","CHECK")</f>
        <v>VALID</v>
      </c>
    </row>
    <row r="4" customFormat="false" ht="15" hidden="false" customHeight="true" outlineLevel="0" collapsed="false">
      <c r="A4" s="9" t="n">
        <v>28.5</v>
      </c>
      <c r="B4" s="8" t="s">
        <v>21</v>
      </c>
      <c r="C4" s="11" t="n">
        <f aca="false">INT(A4)</f>
        <v>28</v>
      </c>
      <c r="D4" s="11" t="n">
        <f aca="false">INT((A4-INT(A4))*60)</f>
        <v>30</v>
      </c>
      <c r="E4" s="11" t="n">
        <f aca="false">ROUND((((A4-INT(A4))*60)-INT((A4-INT(A4))*60))*60,0)</f>
        <v>0</v>
      </c>
      <c r="F4" s="12" t="str">
        <f aca="false">C4&amp;"° "&amp;D4&amp;"' "&amp;E4&amp;""</f>
        <v>28° 30' 0</v>
      </c>
      <c r="G4" s="16"/>
      <c r="H4" s="12" t="str">
        <f aca="false">IF(A4&gt;0,"VALID","CHECK")</f>
        <v>VALID</v>
      </c>
    </row>
    <row r="5" customFormat="false" ht="15" hidden="false" customHeight="true" outlineLevel="0" collapsed="false">
      <c r="A5" s="9" t="n">
        <v>45</v>
      </c>
      <c r="B5" s="8" t="s">
        <v>23</v>
      </c>
      <c r="C5" s="11" t="n">
        <f aca="false">INT(A5)</f>
        <v>45</v>
      </c>
      <c r="D5" s="11" t="n">
        <f aca="false">INT((A5-INT(A5))*60)</f>
        <v>0</v>
      </c>
      <c r="E5" s="11" t="n">
        <f aca="false">ROUND((((A5-INT(A5))*60)-INT((A5-INT(A5))*60))*60,0)</f>
        <v>0</v>
      </c>
      <c r="F5" s="12" t="str">
        <f aca="false">C5&amp;"° "&amp;D5&amp;"' "&amp;E5&amp;""</f>
        <v>45° 0' 0</v>
      </c>
      <c r="G5" s="16"/>
      <c r="H5" s="12" t="str">
        <f aca="false">IF(A5&gt;0,"VALID","CHECK")</f>
        <v>VALID</v>
      </c>
    </row>
    <row r="6" customFormat="false" ht="15" hidden="false" customHeight="true" outlineLevel="0" collapsed="false">
      <c r="A6" s="9" t="n">
        <v>62.75</v>
      </c>
      <c r="B6" s="8" t="s">
        <v>26</v>
      </c>
      <c r="C6" s="11" t="n">
        <f aca="false">INT(A6)</f>
        <v>62</v>
      </c>
      <c r="D6" s="11" t="n">
        <f aca="false">INT((A6-INT(A6))*60)</f>
        <v>45</v>
      </c>
      <c r="E6" s="11" t="n">
        <f aca="false">ROUND((((A6-INT(A6))*60)-INT((A6-INT(A6))*60))*60,0)</f>
        <v>0</v>
      </c>
      <c r="F6" s="12" t="str">
        <f aca="false">C6&amp;"° "&amp;D6&amp;"' "&amp;E6&amp;""</f>
        <v>62° 45' 0</v>
      </c>
      <c r="G6" s="16"/>
      <c r="H6" s="12" t="str">
        <f aca="false">IF(A6&gt;0,"VALID","CHECK")</f>
        <v>VALID</v>
      </c>
    </row>
    <row r="7" customFormat="false" ht="15" hidden="false" customHeight="true" outlineLevel="0" collapsed="false">
      <c r="A7" s="9" t="n">
        <v>89.9</v>
      </c>
      <c r="B7" s="8" t="s">
        <v>28</v>
      </c>
      <c r="C7" s="11" t="n">
        <f aca="false">INT(A7)</f>
        <v>89</v>
      </c>
      <c r="D7" s="11" t="n">
        <f aca="false">INT((A7-INT(A7))*60)</f>
        <v>54</v>
      </c>
      <c r="E7" s="11" t="n">
        <f aca="false">ROUND((((A7-INT(A7))*60)-INT((A7-INT(A7))*60))*60,0)</f>
        <v>0</v>
      </c>
      <c r="F7" s="12" t="str">
        <f aca="false">C7&amp;"° "&amp;D7&amp;"' "&amp;E7&amp;""</f>
        <v>89° 54' 0</v>
      </c>
      <c r="G7" s="16"/>
      <c r="H7" s="12" t="str">
        <f aca="false">IF(A7&gt;0,"VALID","CHECK")</f>
        <v>VALID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9" min="6" style="1" width="14"/>
    <col collapsed="false" customWidth="true" hidden="false" outlineLevel="0" max="10" min="10" style="1" width="24"/>
    <col collapsed="false" customWidth="true" hidden="false" outlineLevel="0" max="11" min="11" style="1" width="18"/>
  </cols>
  <sheetData>
    <row r="1" customFormat="false" ht="27.75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5" t="s">
        <v>33</v>
      </c>
      <c r="B2" s="5" t="s">
        <v>34</v>
      </c>
      <c r="C2" s="5" t="s">
        <v>35</v>
      </c>
      <c r="D2" s="5" t="s">
        <v>36</v>
      </c>
      <c r="E2" s="5" t="s">
        <v>32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16</v>
      </c>
    </row>
    <row r="3" customFormat="false" ht="15" hidden="false" customHeight="true" outlineLevel="0" collapsed="false">
      <c r="A3" s="8" t="s">
        <v>17</v>
      </c>
      <c r="B3" s="11" t="n">
        <v>0</v>
      </c>
      <c r="C3" s="11" t="n">
        <v>0</v>
      </c>
      <c r="D3" s="11" t="n">
        <v>0</v>
      </c>
      <c r="E3" s="9" t="n">
        <f aca="false">B3+(C3/60)+(D3/3600)</f>
        <v>0</v>
      </c>
      <c r="F3" s="12" t="n">
        <f aca="false">SIN(RADIANS(E3))</f>
        <v>0</v>
      </c>
      <c r="G3" s="12" t="n">
        <f aca="false">COS(RADIANS(E3))</f>
        <v>1</v>
      </c>
      <c r="H3" s="12" t="n">
        <f aca="false">F3</f>
        <v>0</v>
      </c>
      <c r="I3" s="12" t="n">
        <f aca="false">G3</f>
        <v>1</v>
      </c>
      <c r="J3" s="10" t="str">
        <f aca="false">TEXT(H3,"0.000000")&amp;"N  "&amp;TEXT(I3,"0.000000")&amp;"E"</f>
        <v>0.000000N  1.000000E</v>
      </c>
      <c r="K3" s="16"/>
    </row>
    <row r="4" customFormat="false" ht="15" hidden="false" customHeight="true" outlineLevel="0" collapsed="false">
      <c r="A4" s="8" t="s">
        <v>21</v>
      </c>
      <c r="B4" s="11" t="n">
        <v>0</v>
      </c>
      <c r="C4" s="11" t="n">
        <v>0</v>
      </c>
      <c r="D4" s="11" t="n">
        <v>0</v>
      </c>
      <c r="E4" s="9" t="n">
        <f aca="false">B4+(C4/60)+(D4/3600)</f>
        <v>0</v>
      </c>
      <c r="F4" s="12" t="n">
        <f aca="false">SIN(RADIANS(E4))</f>
        <v>0</v>
      </c>
      <c r="G4" s="12" t="n">
        <f aca="false">COS(RADIANS(E4))</f>
        <v>1</v>
      </c>
      <c r="H4" s="12" t="n">
        <f aca="false">F4</f>
        <v>0</v>
      </c>
      <c r="I4" s="12" t="n">
        <f aca="false">G4</f>
        <v>1</v>
      </c>
      <c r="J4" s="10" t="str">
        <f aca="false">TEXT(H4,"0.000000")&amp;"N  "&amp;TEXT(I4,"0.000000")&amp;"E"</f>
        <v>0.000000N  1.000000E</v>
      </c>
      <c r="K4" s="16"/>
    </row>
    <row r="5" customFormat="false" ht="15" hidden="false" customHeight="true" outlineLevel="0" collapsed="false">
      <c r="A5" s="8" t="s">
        <v>23</v>
      </c>
      <c r="B5" s="11" t="n">
        <v>0</v>
      </c>
      <c r="C5" s="11" t="n">
        <v>0</v>
      </c>
      <c r="D5" s="11" t="n">
        <v>0</v>
      </c>
      <c r="E5" s="9" t="n">
        <f aca="false">B5+(C5/60)+(D5/3600)</f>
        <v>0</v>
      </c>
      <c r="F5" s="12" t="n">
        <f aca="false">SIN(RADIANS(E5))</f>
        <v>0</v>
      </c>
      <c r="G5" s="12" t="n">
        <f aca="false">COS(RADIANS(E5))</f>
        <v>1</v>
      </c>
      <c r="H5" s="12" t="n">
        <f aca="false">F5</f>
        <v>0</v>
      </c>
      <c r="I5" s="12" t="n">
        <f aca="false">G5</f>
        <v>1</v>
      </c>
      <c r="J5" s="10" t="str">
        <f aca="false">TEXT(H5,"0.000000")&amp;"N  "&amp;TEXT(I5,"0.000000")&amp;"E"</f>
        <v>0.000000N  1.000000E</v>
      </c>
      <c r="K5" s="16"/>
    </row>
    <row r="6" customFormat="false" ht="15" hidden="false" customHeight="true" outlineLevel="0" collapsed="false">
      <c r="A6" s="8" t="s">
        <v>26</v>
      </c>
      <c r="B6" s="11" t="n">
        <v>0</v>
      </c>
      <c r="C6" s="11" t="n">
        <v>0</v>
      </c>
      <c r="D6" s="11" t="n">
        <v>0</v>
      </c>
      <c r="E6" s="9" t="n">
        <f aca="false">B6+(C6/60)+(D6/3600)</f>
        <v>0</v>
      </c>
      <c r="F6" s="12" t="n">
        <f aca="false">SIN(RADIANS(E6))</f>
        <v>0</v>
      </c>
      <c r="G6" s="12" t="n">
        <f aca="false">COS(RADIANS(E6))</f>
        <v>1</v>
      </c>
      <c r="H6" s="12" t="n">
        <f aca="false">F6</f>
        <v>0</v>
      </c>
      <c r="I6" s="12" t="n">
        <f aca="false">G6</f>
        <v>1</v>
      </c>
      <c r="J6" s="10" t="str">
        <f aca="false">TEXT(H6,"0.000000")&amp;"N  "&amp;TEXT(I6,"0.000000")&amp;"E"</f>
        <v>0.000000N  1.000000E</v>
      </c>
      <c r="K6" s="16"/>
    </row>
    <row r="7" customFormat="false" ht="15" hidden="false" customHeight="true" outlineLevel="0" collapsed="false">
      <c r="A7" s="8" t="s">
        <v>28</v>
      </c>
      <c r="B7" s="11" t="n">
        <v>0</v>
      </c>
      <c r="C7" s="11" t="n">
        <v>0</v>
      </c>
      <c r="D7" s="11" t="n">
        <v>0</v>
      </c>
      <c r="E7" s="9" t="n">
        <f aca="false">B7+(C7/60)+(D7/3600)</f>
        <v>0</v>
      </c>
      <c r="F7" s="12" t="n">
        <f aca="false">SIN(RADIANS(E7))</f>
        <v>0</v>
      </c>
      <c r="G7" s="12" t="n">
        <f aca="false">COS(RADIANS(E7))</f>
        <v>1</v>
      </c>
      <c r="H7" s="12" t="n">
        <f aca="false">F7</f>
        <v>0</v>
      </c>
      <c r="I7" s="12" t="n">
        <f aca="false">G7</f>
        <v>1</v>
      </c>
      <c r="J7" s="10" t="str">
        <f aca="false">TEXT(H7,"0.000000")&amp;"N  "&amp;TEXT(I7,"0.000000")&amp;"E"</f>
        <v>0.000000N  1.000000E</v>
      </c>
      <c r="K7" s="1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0"/>
  </cols>
  <sheetData>
    <row r="1" customFormat="false" ht="27.7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33</v>
      </c>
      <c r="B2" s="3" t="s">
        <v>2</v>
      </c>
      <c r="C2" s="3" t="s">
        <v>46</v>
      </c>
      <c r="D2" s="4" t="s">
        <v>47</v>
      </c>
      <c r="E2" s="4" t="s">
        <v>48</v>
      </c>
      <c r="F2" s="5" t="s">
        <v>49</v>
      </c>
      <c r="G2" s="5" t="s">
        <v>50</v>
      </c>
      <c r="H2" s="6" t="s">
        <v>51</v>
      </c>
      <c r="I2" s="17" t="s">
        <v>52</v>
      </c>
      <c r="J2" s="7" t="s">
        <v>53</v>
      </c>
      <c r="K2" s="3" t="s">
        <v>54</v>
      </c>
      <c r="L2" s="3" t="s">
        <v>16</v>
      </c>
    </row>
    <row r="3" customFormat="false" ht="15" hidden="false" customHeight="true" outlineLevel="0" collapsed="false">
      <c r="A3" s="8" t="s">
        <v>17</v>
      </c>
      <c r="B3" s="8" t="s">
        <v>18</v>
      </c>
      <c r="C3" s="8" t="s">
        <v>4</v>
      </c>
      <c r="D3" s="9" t="n">
        <v>100</v>
      </c>
      <c r="E3" s="9" t="n">
        <v>0</v>
      </c>
      <c r="F3" s="10" t="n">
        <f aca="false">E3-D3</f>
        <v>-100</v>
      </c>
      <c r="G3" s="10" t="n">
        <f aca="false">IFERROR((E3/D3)*100,0)</f>
        <v>0</v>
      </c>
      <c r="H3" s="11" t="str">
        <f aca="false">IF(G3&gt;=90,"✅ PROVEN",IF(G3&gt;=70,"🔶 PROMISING",IF(G3&gt;=50,"⚠️ PARTIAL","❌ UNPROVEN")))</f>
        <v>❌ UNPROVEN</v>
      </c>
      <c r="I3" s="18" t="str">
        <f aca="false">IF(F3&lt;-10,"UNDER-BIAS",IF(F3&gt;10,"OVER-BIAS","NEUTRAL"))</f>
        <v>UNDER-BIAS</v>
      </c>
      <c r="J3" s="12" t="n">
        <f aca="false">IFERROR(MAX(0,100-ABS(F3/D3*100)),0)</f>
        <v>0</v>
      </c>
      <c r="K3" s="19" t="str">
        <f aca="false">IF(ABS(F3)&lt;=5,"TIGHT",IF(ABS(F3)&lt;=15,"MODERATE","WIDE"))</f>
        <v>WIDE</v>
      </c>
      <c r="L3" s="16"/>
    </row>
    <row r="4" customFormat="false" ht="15" hidden="false" customHeight="true" outlineLevel="0" collapsed="false">
      <c r="A4" s="8" t="s">
        <v>21</v>
      </c>
      <c r="B4" s="8" t="s">
        <v>18</v>
      </c>
      <c r="C4" s="8" t="s">
        <v>5</v>
      </c>
      <c r="D4" s="9" t="n">
        <v>100</v>
      </c>
      <c r="E4" s="9" t="n">
        <v>0</v>
      </c>
      <c r="F4" s="10" t="n">
        <f aca="false">E4-D4</f>
        <v>-100</v>
      </c>
      <c r="G4" s="10" t="n">
        <f aca="false">IFERROR((E4/D4)*100,0)</f>
        <v>0</v>
      </c>
      <c r="H4" s="11" t="str">
        <f aca="false">IF(G4&gt;=90,"✅ PROVEN",IF(G4&gt;=70,"🔶 PROMISING",IF(G4&gt;=50,"⚠️ PARTIAL","❌ UNPROVEN")))</f>
        <v>❌ UNPROVEN</v>
      </c>
      <c r="I4" s="18" t="str">
        <f aca="false">IF(F4&lt;-10,"UNDER-BIAS",IF(F4&gt;10,"OVER-BIAS","NEUTRAL"))</f>
        <v>UNDER-BIAS</v>
      </c>
      <c r="J4" s="12" t="n">
        <f aca="false">IFERROR(MAX(0,100-ABS(F4/D4*100)),0)</f>
        <v>0</v>
      </c>
      <c r="K4" s="19" t="str">
        <f aca="false">IF(ABS(F4)&lt;=5,"TIGHT",IF(ABS(F4)&lt;=15,"MODERATE","WIDE"))</f>
        <v>WIDE</v>
      </c>
      <c r="L4" s="16"/>
    </row>
    <row r="5" customFormat="false" ht="15" hidden="false" customHeight="true" outlineLevel="0" collapsed="false">
      <c r="A5" s="8" t="s">
        <v>23</v>
      </c>
      <c r="B5" s="8" t="s">
        <v>18</v>
      </c>
      <c r="C5" s="8" t="s">
        <v>55</v>
      </c>
      <c r="D5" s="9" t="n">
        <v>100</v>
      </c>
      <c r="E5" s="9" t="n">
        <v>0</v>
      </c>
      <c r="F5" s="10" t="n">
        <f aca="false">E5-D5</f>
        <v>-100</v>
      </c>
      <c r="G5" s="10" t="n">
        <f aca="false">IFERROR((E5/D5)*100,0)</f>
        <v>0</v>
      </c>
      <c r="H5" s="11" t="str">
        <f aca="false">IF(G5&gt;=90,"✅ PROVEN",IF(G5&gt;=70,"🔶 PROMISING",IF(G5&gt;=50,"⚠️ PARTIAL","❌ UNPROVEN")))</f>
        <v>❌ UNPROVEN</v>
      </c>
      <c r="I5" s="18" t="str">
        <f aca="false">IF(F5&lt;-10,"UNDER-BIAS",IF(F5&gt;10,"OVER-BIAS","NEUTRAL"))</f>
        <v>UNDER-BIAS</v>
      </c>
      <c r="J5" s="12" t="n">
        <f aca="false">IFERROR(MAX(0,100-ABS(F5/D5*100)),0)</f>
        <v>0</v>
      </c>
      <c r="K5" s="19" t="str">
        <f aca="false">IF(ABS(F5)&lt;=5,"TIGHT",IF(ABS(F5)&lt;=15,"MODERATE","WIDE"))</f>
        <v>WIDE</v>
      </c>
      <c r="L5" s="16"/>
    </row>
    <row r="6" customFormat="false" ht="15" hidden="false" customHeight="true" outlineLevel="0" collapsed="false">
      <c r="A6" s="8" t="s">
        <v>26</v>
      </c>
      <c r="B6" s="8" t="s">
        <v>18</v>
      </c>
      <c r="C6" s="8" t="s">
        <v>11</v>
      </c>
      <c r="D6" s="9" t="n">
        <v>100</v>
      </c>
      <c r="E6" s="9" t="n">
        <v>0</v>
      </c>
      <c r="F6" s="10" t="n">
        <f aca="false">E6-D6</f>
        <v>-100</v>
      </c>
      <c r="G6" s="10" t="n">
        <f aca="false">IFERROR((E6/D6)*100,0)</f>
        <v>0</v>
      </c>
      <c r="H6" s="11" t="str">
        <f aca="false">IF(G6&gt;=90,"✅ PROVEN",IF(G6&gt;=70,"🔶 PROMISING",IF(G6&gt;=50,"⚠️ PARTIAL","❌ UNPROVEN")))</f>
        <v>❌ UNPROVEN</v>
      </c>
      <c r="I6" s="18" t="str">
        <f aca="false">IF(F6&lt;-10,"UNDER-BIAS",IF(F6&gt;10,"OVER-BIAS","NEUTRAL"))</f>
        <v>UNDER-BIAS</v>
      </c>
      <c r="J6" s="12" t="n">
        <f aca="false">IFERROR(MAX(0,100-ABS(F6/D6*100)),0)</f>
        <v>0</v>
      </c>
      <c r="K6" s="19" t="str">
        <f aca="false">IF(ABS(F6)&lt;=5,"TIGHT",IF(ABS(F6)&lt;=15,"MODERATE","WIDE"))</f>
        <v>WIDE</v>
      </c>
      <c r="L6" s="16"/>
    </row>
    <row r="7" customFormat="false" ht="15" hidden="false" customHeight="true" outlineLevel="0" collapsed="false">
      <c r="A7" s="8" t="s">
        <v>28</v>
      </c>
      <c r="B7" s="8" t="s">
        <v>18</v>
      </c>
      <c r="C7" s="8" t="s">
        <v>13</v>
      </c>
      <c r="D7" s="9" t="n">
        <v>100</v>
      </c>
      <c r="E7" s="9" t="n">
        <v>0</v>
      </c>
      <c r="F7" s="10" t="n">
        <f aca="false">E7-D7</f>
        <v>-100</v>
      </c>
      <c r="G7" s="10" t="n">
        <f aca="false">IFERROR((E7/D7)*100,0)</f>
        <v>0</v>
      </c>
      <c r="H7" s="11" t="str">
        <f aca="false">IF(G7&gt;=90,"✅ PROVEN",IF(G7&gt;=70,"🔶 PROMISING",IF(G7&gt;=50,"⚠️ PARTIAL","❌ UNPROVEN")))</f>
        <v>❌ UNPROVEN</v>
      </c>
      <c r="I7" s="18" t="str">
        <f aca="false">IF(F7&lt;-10,"UNDER-BIAS",IF(F7&gt;10,"OVER-BIAS","NEUTRAL"))</f>
        <v>UNDER-BIAS</v>
      </c>
      <c r="J7" s="12" t="n">
        <f aca="false">IFERROR(MAX(0,100-ABS(F7/D7*100)),0)</f>
        <v>0</v>
      </c>
      <c r="K7" s="19" t="str">
        <f aca="false">IF(ABS(F7)&lt;=5,"TIGHT",IF(ABS(F7)&lt;=15,"MODERATE","WIDE"))</f>
        <v>WIDE</v>
      </c>
      <c r="L7" s="16"/>
    </row>
    <row r="8" customFormat="false" ht="15" hidden="false" customHeight="true" outlineLevel="0" collapsed="false">
      <c r="A8" s="8" t="s">
        <v>30</v>
      </c>
      <c r="B8" s="8" t="s">
        <v>18</v>
      </c>
      <c r="C8" s="8" t="s">
        <v>14</v>
      </c>
      <c r="D8" s="9" t="n">
        <v>100</v>
      </c>
      <c r="E8" s="9" t="n">
        <v>0</v>
      </c>
      <c r="F8" s="10" t="n">
        <f aca="false">E8-D8</f>
        <v>-100</v>
      </c>
      <c r="G8" s="10" t="n">
        <f aca="false">IFERROR((E8/D8)*100,0)</f>
        <v>0</v>
      </c>
      <c r="H8" s="11" t="str">
        <f aca="false">IF(G8&gt;=90,"✅ PROVEN",IF(G8&gt;=70,"🔶 PROMISING",IF(G8&gt;=50,"⚠️ PARTIAL","❌ UNPROVEN")))</f>
        <v>❌ UNPROVEN</v>
      </c>
      <c r="I8" s="18" t="str">
        <f aca="false">IF(F8&lt;-10,"UNDER-BIAS",IF(F8&gt;10,"OVER-BIAS","NEUTRAL"))</f>
        <v>UNDER-BIAS</v>
      </c>
      <c r="J8" s="12" t="n">
        <f aca="false">IFERROR(MAX(0,100-ABS(F8/D8*100)),0)</f>
        <v>0</v>
      </c>
      <c r="K8" s="19" t="str">
        <f aca="false">IF(ABS(F8)&lt;=5,"TIGHT",IF(ABS(F8)&lt;=15,"MODERATE","WIDE"))</f>
        <v>WIDE</v>
      </c>
      <c r="L8" s="16"/>
    </row>
    <row r="10" customFormat="false" ht="24" hidden="false" customHeight="true" outlineLevel="0" collapsed="false">
      <c r="A10" s="14" t="s">
        <v>56</v>
      </c>
      <c r="B10" s="14"/>
      <c r="C10" s="14"/>
      <c r="D10" s="20" t="s">
        <v>57</v>
      </c>
      <c r="E10" s="20"/>
      <c r="F10" s="20"/>
      <c r="G10" s="20"/>
      <c r="H10" s="20"/>
      <c r="I10" s="20"/>
      <c r="J10" s="20"/>
      <c r="K10" s="20"/>
      <c r="L10" s="20"/>
    </row>
  </sheetData>
  <mergeCells count="3">
    <mergeCell ref="A1:L1"/>
    <mergeCell ref="A10:C10"/>
    <mergeCell ref="D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7" min="3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5" min="10" style="0" width="10"/>
    <col collapsed="false" customWidth="true" hidden="false" outlineLevel="0" max="16" min="16" style="0" width="16"/>
  </cols>
  <sheetData>
    <row r="1" customFormat="false" ht="27.7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21" t="s">
        <v>59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36" hidden="false" customHeight="true" outlineLevel="0" collapsed="false">
      <c r="A3" s="3" t="s">
        <v>33</v>
      </c>
      <c r="B3" s="3" t="s">
        <v>2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5" t="s">
        <v>65</v>
      </c>
      <c r="I3" s="5" t="s">
        <v>66</v>
      </c>
      <c r="J3" s="7" t="s">
        <v>67</v>
      </c>
      <c r="K3" s="7" t="s">
        <v>68</v>
      </c>
      <c r="L3" s="7" t="s">
        <v>69</v>
      </c>
      <c r="M3" s="6" t="s">
        <v>70</v>
      </c>
      <c r="N3" s="6" t="s">
        <v>71</v>
      </c>
      <c r="O3" s="22" t="s">
        <v>72</v>
      </c>
      <c r="P3" s="22" t="s">
        <v>38</v>
      </c>
    </row>
    <row r="4" customFormat="false" ht="15" hidden="false" customHeight="false" outlineLevel="0" collapsed="false">
      <c r="A4" s="8" t="s">
        <v>17</v>
      </c>
      <c r="B4" s="8" t="s">
        <v>18</v>
      </c>
      <c r="C4" s="9" t="n">
        <v>480</v>
      </c>
      <c r="D4" s="9" t="n">
        <v>20</v>
      </c>
      <c r="E4" s="9" t="n">
        <v>15</v>
      </c>
      <c r="F4" s="9" t="n">
        <v>10</v>
      </c>
      <c r="G4" s="9" t="n">
        <v>5</v>
      </c>
      <c r="H4" s="10" t="n">
        <v>2.5</v>
      </c>
      <c r="I4" s="10" t="n">
        <v>40</v>
      </c>
      <c r="J4" s="12" t="n">
        <f aca="false">H4*I4</f>
        <v>100</v>
      </c>
      <c r="K4" s="12" t="n">
        <f aca="false">J4+I4</f>
        <v>140</v>
      </c>
      <c r="L4" s="12" t="n">
        <f aca="false">IFERROR(C4-(J4*D4)-(K4*G4),0)</f>
        <v>-2220</v>
      </c>
      <c r="M4" s="11" t="n">
        <v>400</v>
      </c>
      <c r="N4" s="11" t="n">
        <f aca="false">J4</f>
        <v>100</v>
      </c>
      <c r="O4" s="23" t="n">
        <f aca="false">IFERROR(J4/M4,0)</f>
        <v>0.25</v>
      </c>
      <c r="P4" s="23" t="str">
        <f aca="false">IF(O4&gt;=0.9,"🟢 ACTIVE",IF(O4&gt;=0.7,"🔶 PROMISING",IF(O4&gt;=0.5,"⚠️ PARTIAL",IF(O4&gt;0,"🔴 CUTOFF RISK","⛔ CUTOFF"))))</f>
        <v>🔴 CUTOFF RISK</v>
      </c>
    </row>
    <row r="5" customFormat="false" ht="15" hidden="false" customHeight="false" outlineLevel="0" collapsed="false">
      <c r="A5" s="8" t="s">
        <v>21</v>
      </c>
      <c r="B5" s="8" t="s">
        <v>18</v>
      </c>
      <c r="C5" s="9" t="n">
        <v>300</v>
      </c>
      <c r="D5" s="9" t="n">
        <v>10</v>
      </c>
      <c r="E5" s="9" t="n">
        <v>8</v>
      </c>
      <c r="F5" s="9" t="n">
        <v>5</v>
      </c>
      <c r="G5" s="9" t="n">
        <v>3</v>
      </c>
      <c r="H5" s="10" t="n">
        <v>2</v>
      </c>
      <c r="I5" s="10" t="n">
        <v>30</v>
      </c>
      <c r="J5" s="12" t="n">
        <f aca="false">H5*I5</f>
        <v>60</v>
      </c>
      <c r="K5" s="12" t="n">
        <f aca="false">J5+I5</f>
        <v>90</v>
      </c>
      <c r="L5" s="12" t="n">
        <f aca="false">IFERROR(C5-(J5*D5)-(K5*G5),0)</f>
        <v>-570</v>
      </c>
      <c r="M5" s="11" t="n">
        <v>280</v>
      </c>
      <c r="N5" s="11" t="n">
        <f aca="false">J5</f>
        <v>60</v>
      </c>
      <c r="O5" s="23" t="n">
        <f aca="false">IFERROR(J5/M5,0)</f>
        <v>0.214285714285714</v>
      </c>
      <c r="P5" s="23" t="str">
        <f aca="false">IF(O5&gt;=0.9,"🟢 ACTIVE",IF(O5&gt;=0.7,"🔶 PROMISING",IF(O5&gt;=0.5,"⚠️ PARTIAL",IF(O5&gt;0,"🔴 CUTOFF RISK","⛔ CUTOFF"))))</f>
        <v>🔴 CUTOFF RISK</v>
      </c>
    </row>
    <row r="6" customFormat="false" ht="15" hidden="false" customHeight="false" outlineLevel="0" collapsed="false">
      <c r="A6" s="8" t="s">
        <v>23</v>
      </c>
      <c r="B6" s="8" t="s">
        <v>18</v>
      </c>
      <c r="C6" s="9" t="n">
        <v>600</v>
      </c>
      <c r="D6" s="9" t="n">
        <v>25</v>
      </c>
      <c r="E6" s="9" t="n">
        <v>20</v>
      </c>
      <c r="F6" s="9" t="n">
        <v>12</v>
      </c>
      <c r="G6" s="9" t="n">
        <v>8</v>
      </c>
      <c r="H6" s="10" t="n">
        <v>3</v>
      </c>
      <c r="I6" s="10" t="n">
        <v>50</v>
      </c>
      <c r="J6" s="12" t="n">
        <f aca="false">H6*I6</f>
        <v>150</v>
      </c>
      <c r="K6" s="12" t="n">
        <f aca="false">J6+I6</f>
        <v>200</v>
      </c>
      <c r="L6" s="12" t="n">
        <f aca="false">IFERROR(C6-(J6*D6)-(K6*G6),0)</f>
        <v>-4750</v>
      </c>
      <c r="M6" s="11" t="n">
        <v>520</v>
      </c>
      <c r="N6" s="11" t="n">
        <f aca="false">J6</f>
        <v>150</v>
      </c>
      <c r="O6" s="23" t="n">
        <f aca="false">IFERROR(J6/M6,0)</f>
        <v>0.288461538461538</v>
      </c>
      <c r="P6" s="23" t="str">
        <f aca="false">IF(O6&gt;=0.9,"🟢 ACTIVE",IF(O6&gt;=0.7,"🔶 PROMISING",IF(O6&gt;=0.5,"⚠️ PARTIAL",IF(O6&gt;0,"🔴 CUTOFF RISK","⛔ CUTOFF"))))</f>
        <v>🔴 CUTOFF RISK</v>
      </c>
    </row>
    <row r="7" customFormat="false" ht="15" hidden="false" customHeight="false" outlineLevel="0" collapsed="false">
      <c r="A7" s="8" t="s">
        <v>26</v>
      </c>
      <c r="B7" s="8" t="s">
        <v>18</v>
      </c>
      <c r="C7" s="9" t="n">
        <v>200</v>
      </c>
      <c r="D7" s="9" t="n">
        <v>5</v>
      </c>
      <c r="E7" s="9" t="n">
        <v>3</v>
      </c>
      <c r="F7" s="9" t="n">
        <v>2</v>
      </c>
      <c r="G7" s="9" t="n">
        <v>2</v>
      </c>
      <c r="H7" s="10" t="n">
        <v>1.8</v>
      </c>
      <c r="I7" s="10" t="n">
        <v>20</v>
      </c>
      <c r="J7" s="12" t="n">
        <f aca="false">H7*I7</f>
        <v>36</v>
      </c>
      <c r="K7" s="12" t="n">
        <f aca="false">J7+I7</f>
        <v>56</v>
      </c>
      <c r="L7" s="12" t="n">
        <f aca="false">IFERROR(C7-(J7*D7)-(K7*G7),0)</f>
        <v>-92</v>
      </c>
      <c r="M7" s="11" t="n">
        <v>180</v>
      </c>
      <c r="N7" s="11" t="n">
        <f aca="false">J7</f>
        <v>36</v>
      </c>
      <c r="O7" s="23" t="n">
        <f aca="false">IFERROR(J7/M7,0)</f>
        <v>0.2</v>
      </c>
      <c r="P7" s="23" t="str">
        <f aca="false">IF(O7&gt;=0.9,"🟢 ACTIVE",IF(O7&gt;=0.7,"🔶 PROMISING",IF(O7&gt;=0.5,"⚠️ PARTIAL",IF(O7&gt;0,"🔴 CUTOFF RISK","⛔ CUTOFF"))))</f>
        <v>🔴 CUTOFF RISK</v>
      </c>
    </row>
    <row r="8" customFormat="false" ht="15" hidden="false" customHeight="false" outlineLevel="0" collapsed="false">
      <c r="A8" s="8" t="s">
        <v>28</v>
      </c>
      <c r="B8" s="8" t="s">
        <v>18</v>
      </c>
      <c r="C8" s="9" t="n">
        <v>400</v>
      </c>
      <c r="D8" s="9" t="n">
        <v>15</v>
      </c>
      <c r="E8" s="9" t="n">
        <v>12</v>
      </c>
      <c r="F8" s="9" t="n">
        <v>8</v>
      </c>
      <c r="G8" s="9" t="n">
        <v>4</v>
      </c>
      <c r="H8" s="10" t="n">
        <v>2.2</v>
      </c>
      <c r="I8" s="10" t="n">
        <v>35</v>
      </c>
      <c r="J8" s="12" t="n">
        <f aca="false">H8*I8</f>
        <v>77</v>
      </c>
      <c r="K8" s="12" t="n">
        <f aca="false">J8+I8</f>
        <v>112</v>
      </c>
      <c r="L8" s="12" t="n">
        <f aca="false">IFERROR(C8-(J8*D8)-(K8*G8),0)</f>
        <v>-1203</v>
      </c>
      <c r="M8" s="11" t="n">
        <v>360</v>
      </c>
      <c r="N8" s="11" t="n">
        <f aca="false">J8</f>
        <v>77</v>
      </c>
      <c r="O8" s="23" t="n">
        <f aca="false">IFERROR(J8/M8,0)</f>
        <v>0.213888888888889</v>
      </c>
      <c r="P8" s="23" t="str">
        <f aca="false">IF(O8&gt;=0.9,"🟢 ACTIVE",IF(O8&gt;=0.7,"🔶 PROMISING",IF(O8&gt;=0.5,"⚠️ PARTIAL",IF(O8&gt;0,"🔴 CUTOFF RISK","⛔ CUTOFF"))))</f>
        <v>🔴 CUTOFF RISK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9"/>
    <col collapsed="false" customWidth="true" hidden="false" outlineLevel="0" max="16" min="15" style="0" width="8"/>
  </cols>
  <sheetData>
    <row r="1" customFormat="false" ht="27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1.5" hidden="false" customHeight="true" outlineLevel="0" collapsed="false">
      <c r="A2" s="3" t="s">
        <v>74</v>
      </c>
      <c r="B2" s="3" t="s">
        <v>75</v>
      </c>
      <c r="C2" s="3" t="s">
        <v>2</v>
      </c>
      <c r="D2" s="4" t="s">
        <v>76</v>
      </c>
      <c r="E2" s="4" t="s">
        <v>77</v>
      </c>
      <c r="F2" s="4" t="s">
        <v>78</v>
      </c>
      <c r="G2" s="5" t="s">
        <v>79</v>
      </c>
      <c r="H2" s="5" t="s">
        <v>80</v>
      </c>
      <c r="I2" s="6" t="s">
        <v>81</v>
      </c>
      <c r="J2" s="6" t="s">
        <v>82</v>
      </c>
      <c r="K2" s="6" t="s">
        <v>83</v>
      </c>
      <c r="L2" s="7" t="s">
        <v>84</v>
      </c>
      <c r="M2" s="7" t="s">
        <v>85</v>
      </c>
      <c r="N2" s="7" t="s">
        <v>86</v>
      </c>
      <c r="O2" s="7" t="s">
        <v>87</v>
      </c>
      <c r="P2" s="7" t="s">
        <v>88</v>
      </c>
    </row>
    <row r="3" customFormat="false" ht="15" hidden="false" customHeight="false" outlineLevel="0" collapsed="false">
      <c r="A3" s="8" t="s">
        <v>89</v>
      </c>
      <c r="B3" s="8" t="s">
        <v>90</v>
      </c>
      <c r="C3" s="9" t="s">
        <v>91</v>
      </c>
      <c r="D3" s="9" t="s">
        <v>92</v>
      </c>
      <c r="E3" s="9" t="s">
        <v>93</v>
      </c>
      <c r="F3" s="9" t="s">
        <v>94</v>
      </c>
      <c r="G3" s="10" t="s">
        <v>95</v>
      </c>
      <c r="H3" s="10" t="n">
        <v>2470</v>
      </c>
      <c r="I3" s="11" t="s">
        <v>96</v>
      </c>
      <c r="J3" s="11" t="s">
        <v>97</v>
      </c>
      <c r="K3" s="11" t="s">
        <v>98</v>
      </c>
      <c r="L3" s="12" t="s">
        <v>99</v>
      </c>
      <c r="M3" s="12" t="s">
        <v>100</v>
      </c>
      <c r="N3" s="12" t="n">
        <v>4</v>
      </c>
      <c r="O3" s="12" t="n">
        <v>0</v>
      </c>
      <c r="P3" s="12" t="n">
        <v>0</v>
      </c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102</v>
      </c>
      <c r="B2" s="4" t="s">
        <v>103</v>
      </c>
      <c r="C2" s="4" t="s">
        <v>104</v>
      </c>
      <c r="D2" s="4" t="s">
        <v>105</v>
      </c>
      <c r="E2" s="5" t="s">
        <v>106</v>
      </c>
      <c r="F2" s="5" t="s">
        <v>107</v>
      </c>
      <c r="G2" s="5" t="s">
        <v>108</v>
      </c>
      <c r="H2" s="7" t="s">
        <v>109</v>
      </c>
      <c r="I2" s="7" t="s">
        <v>110</v>
      </c>
      <c r="J2" s="7" t="s">
        <v>5</v>
      </c>
      <c r="K2" s="6" t="s">
        <v>111</v>
      </c>
      <c r="L2" s="22" t="s">
        <v>51</v>
      </c>
    </row>
    <row r="3" customFormat="false" ht="15" hidden="false" customHeight="false" outlineLevel="0" collapsed="false">
      <c r="A3" s="8" t="s">
        <v>89</v>
      </c>
      <c r="B3" s="9" t="n">
        <v>0</v>
      </c>
      <c r="C3" s="9" t="n">
        <v>2470</v>
      </c>
      <c r="D3" s="9" t="n">
        <v>2</v>
      </c>
      <c r="E3" s="10" t="n">
        <v>4</v>
      </c>
      <c r="F3" s="10" t="n">
        <v>0</v>
      </c>
      <c r="G3" s="10" t="n">
        <v>0</v>
      </c>
      <c r="H3" s="12" t="n">
        <f aca="false">C3</f>
        <v>2470</v>
      </c>
      <c r="I3" s="12" t="n">
        <f aca="false">H3+(E3*1.5)+(F3*2)+(G3*3)</f>
        <v>2476</v>
      </c>
      <c r="J3" s="12" t="n">
        <f aca="false">IFERROR(PI()*(D3/12)*I3,0)</f>
        <v>1296.43056838139</v>
      </c>
      <c r="K3" s="11" t="n">
        <f aca="false">IFERROR(I3/15,0)</f>
        <v>165.066666666667</v>
      </c>
      <c r="L3" s="23" t="str">
        <f aca="false">IF(C3=0,"⏳ ENTER DATA",IF(I3&gt;=C3*0.9,"✅ PASS","⚠️ CHECK"))</f>
        <v>✅ PASS</v>
      </c>
    </row>
    <row r="4" customFormat="false" ht="15" hidden="false" customHeight="false" outlineLevel="0" collapsed="false">
      <c r="A4" s="8" t="s">
        <v>112</v>
      </c>
      <c r="B4" s="9" t="n">
        <v>0</v>
      </c>
      <c r="C4" s="9" t="n">
        <v>0</v>
      </c>
      <c r="D4" s="9" t="n">
        <v>2</v>
      </c>
      <c r="E4" s="10" t="n">
        <v>0</v>
      </c>
      <c r="F4" s="10" t="n">
        <v>0</v>
      </c>
      <c r="G4" s="10" t="n">
        <v>0</v>
      </c>
      <c r="H4" s="12" t="n">
        <f aca="false">C4</f>
        <v>0</v>
      </c>
      <c r="I4" s="12" t="n">
        <f aca="false">H4+(E4*1.5)+(F4*2)+(G4*3)</f>
        <v>0</v>
      </c>
      <c r="J4" s="12" t="n">
        <f aca="false">IFERROR(PI()*(D4/12)*I4,0)</f>
        <v>0</v>
      </c>
      <c r="K4" s="11" t="n">
        <f aca="false">IFERROR(I4/15,0)</f>
        <v>0</v>
      </c>
      <c r="L4" s="23" t="str">
        <f aca="false">IF(C4=0,"⏳ ENTER DATA",IF(I4&gt;=C4*0.9,"✅ PASS","⚠️ CHECK"))</f>
        <v>⏳ ENTER DATA</v>
      </c>
    </row>
    <row r="5" customFormat="false" ht="15" hidden="false" customHeight="false" outlineLevel="0" collapsed="false">
      <c r="A5" s="8" t="s">
        <v>113</v>
      </c>
      <c r="B5" s="9" t="n">
        <v>0</v>
      </c>
      <c r="C5" s="9" t="n">
        <v>0</v>
      </c>
      <c r="D5" s="9" t="n">
        <v>2</v>
      </c>
      <c r="E5" s="10" t="n">
        <v>0</v>
      </c>
      <c r="F5" s="10" t="n">
        <v>0</v>
      </c>
      <c r="G5" s="10" t="n">
        <v>0</v>
      </c>
      <c r="H5" s="12" t="n">
        <f aca="false">C5</f>
        <v>0</v>
      </c>
      <c r="I5" s="12" t="n">
        <f aca="false">H5+(E5*1.5)+(F5*2)+(G5*3)</f>
        <v>0</v>
      </c>
      <c r="J5" s="12" t="n">
        <f aca="false">IFERROR(PI()*(D5/12)*I5,0)</f>
        <v>0</v>
      </c>
      <c r="K5" s="11" t="n">
        <f aca="false">IFERROR(I5/15,0)</f>
        <v>0</v>
      </c>
      <c r="L5" s="23" t="str">
        <f aca="false">IF(C5=0,"⏳ ENTER DATA",IF(I5&gt;=C5*0.9,"✅ PASS","⚠️ CHECK"))</f>
        <v>⏳ ENTER DATA</v>
      </c>
    </row>
    <row r="6" customFormat="false" ht="15" hidden="false" customHeight="false" outlineLevel="0" collapsed="false">
      <c r="A6" s="8" t="s">
        <v>114</v>
      </c>
      <c r="B6" s="9" t="n">
        <v>0</v>
      </c>
      <c r="C6" s="9" t="n">
        <v>0</v>
      </c>
      <c r="D6" s="9" t="n">
        <v>4</v>
      </c>
      <c r="E6" s="10" t="n">
        <v>0</v>
      </c>
      <c r="F6" s="10" t="n">
        <v>0</v>
      </c>
      <c r="G6" s="10" t="n">
        <v>0</v>
      </c>
      <c r="H6" s="12" t="n">
        <f aca="false">C6</f>
        <v>0</v>
      </c>
      <c r="I6" s="12" t="n">
        <f aca="false">H6+(E6*1.5)+(F6*2)+(G6*3)</f>
        <v>0</v>
      </c>
      <c r="J6" s="12" t="n">
        <f aca="false">IFERROR(PI()*(D6/12)*I6,0)</f>
        <v>0</v>
      </c>
      <c r="K6" s="11" t="n">
        <f aca="false">IFERROR(I6/15,0)</f>
        <v>0</v>
      </c>
      <c r="L6" s="23" t="str">
        <f aca="false">IF(C6=0,"⏳ ENTER DATA",IF(I6&gt;=C6*0.9,"✅ PASS","⚠️ CHECK"))</f>
        <v>⏳ ENTER DATA</v>
      </c>
    </row>
    <row r="7" customFormat="false" ht="15" hidden="false" customHeight="false" outlineLevel="0" collapsed="false">
      <c r="A7" s="8" t="s">
        <v>115</v>
      </c>
      <c r="B7" s="9" t="n">
        <v>0</v>
      </c>
      <c r="C7" s="9" t="n">
        <v>0</v>
      </c>
      <c r="D7" s="9" t="n">
        <v>4</v>
      </c>
      <c r="E7" s="10" t="n">
        <v>0</v>
      </c>
      <c r="F7" s="10" t="n">
        <v>0</v>
      </c>
      <c r="G7" s="10" t="n">
        <v>0</v>
      </c>
      <c r="H7" s="12" t="n">
        <f aca="false">C7</f>
        <v>0</v>
      </c>
      <c r="I7" s="12" t="n">
        <f aca="false">H7+(E7*1.5)+(F7*2)+(G7*3)</f>
        <v>0</v>
      </c>
      <c r="J7" s="12" t="n">
        <f aca="false">IFERROR(PI()*(D7/12)*I7,0)</f>
        <v>0</v>
      </c>
      <c r="K7" s="11" t="n">
        <f aca="false">IFERROR(I7/15,0)</f>
        <v>0</v>
      </c>
      <c r="L7" s="23" t="str">
        <f aca="false">IF(C7=0,"⏳ ENTER DATA",IF(I7&gt;=C7*0.9,"✅ PASS","⚠️ CHECK"))</f>
        <v>⏳ ENTER DATA</v>
      </c>
    </row>
    <row r="8" customFormat="false" ht="15" hidden="false" customHeight="false" outlineLevel="0" collapsed="false">
      <c r="A8" s="8" t="s">
        <v>116</v>
      </c>
      <c r="B8" s="9" t="n">
        <v>0</v>
      </c>
      <c r="C8" s="9" t="n">
        <v>0</v>
      </c>
      <c r="D8" s="9" t="n">
        <v>6</v>
      </c>
      <c r="E8" s="10" t="n">
        <v>0</v>
      </c>
      <c r="F8" s="10" t="n">
        <v>0</v>
      </c>
      <c r="G8" s="10" t="n">
        <v>0</v>
      </c>
      <c r="H8" s="12" t="n">
        <f aca="false">C8</f>
        <v>0</v>
      </c>
      <c r="I8" s="12" t="n">
        <f aca="false">H8+(E8*1.5)+(F8*2)+(G8*3)</f>
        <v>0</v>
      </c>
      <c r="J8" s="12" t="n">
        <f aca="false">IFERROR(PI()*(D8/12)*I8,0)</f>
        <v>0</v>
      </c>
      <c r="K8" s="11" t="n">
        <f aca="false">IFERROR(I8/15,0)</f>
        <v>0</v>
      </c>
      <c r="L8" s="23" t="str">
        <f aca="false">IF(C8=0,"⏳ ENTER DATA",IF(I8&gt;=C8*0.9,"✅ PASS","⚠️ CHECK"))</f>
        <v>⏳ ENTER DATA</v>
      </c>
    </row>
    <row r="9" customFormat="false" ht="15" hidden="false" customHeight="false" outlineLevel="0" collapsed="false">
      <c r="A9" s="8" t="s">
        <v>117</v>
      </c>
      <c r="B9" s="9" t="n">
        <v>0</v>
      </c>
      <c r="C9" s="9" t="n">
        <v>0</v>
      </c>
      <c r="D9" s="9" t="n">
        <v>6</v>
      </c>
      <c r="E9" s="10" t="n">
        <v>0</v>
      </c>
      <c r="F9" s="10" t="n">
        <v>0</v>
      </c>
      <c r="G9" s="10" t="n">
        <v>0</v>
      </c>
      <c r="H9" s="12" t="n">
        <f aca="false">C9</f>
        <v>0</v>
      </c>
      <c r="I9" s="12" t="n">
        <f aca="false">H9+(E9*1.5)+(F9*2)+(G9*3)</f>
        <v>0</v>
      </c>
      <c r="J9" s="12" t="n">
        <f aca="false">IFERROR(PI()*(D9/12)*I9,0)</f>
        <v>0</v>
      </c>
      <c r="K9" s="11" t="n">
        <f aca="false">IFERROR(I9/15,0)</f>
        <v>0</v>
      </c>
      <c r="L9" s="23" t="str">
        <f aca="false">IF(C9=0,"⏳ ENTER DATA",IF(I9&gt;=C9*0.9,"✅ PASS","⚠️ CHECK"))</f>
        <v>⏳ ENTER DATA</v>
      </c>
    </row>
    <row r="11" customFormat="false" ht="21.75" hidden="false" customHeight="true" outlineLevel="0" collapsed="false">
      <c r="A11" s="21" t="s">
        <v>118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</sheetData>
  <mergeCells count="2">
    <mergeCell ref="A1:L1"/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2026-06-16T12:20:30Z</dcterms:created>
  <dc:creator>openpyxl</dc:creator>
  <dc:description/>
  <dc:language>en-US</dc:language>
  <cp:lastModifiedBy/>
  <dcterms:modified xsi:type="dcterms:W3CDTF">2026-06-16T13:10:16Z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